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ohan\PycharmProjects\alius_core_analyzer\"/>
    </mc:Choice>
  </mc:AlternateContent>
  <xr:revisionPtr revIDLastSave="0" documentId="13_ncr:1_{6B48A228-B9F9-48D6-8148-EF1D06D8202B}" xr6:coauthVersionLast="47" xr6:coauthVersionMax="47" xr10:uidLastSave="{00000000-0000-0000-0000-000000000000}"/>
  <bookViews>
    <workbookView xWindow="38280" yWindow="8310" windowWidth="29040" windowHeight="15720" xr2:uid="{00000000-000D-0000-FFFF-FFFF00000000}"/>
  </bookViews>
  <sheets>
    <sheet name="Core_and_J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7" i="1"/>
  <c r="M8" i="1"/>
  <c r="M10" i="1"/>
  <c r="H4" i="1"/>
  <c r="H5" i="1"/>
  <c r="H6" i="1"/>
  <c r="H7" i="1"/>
  <c r="H8" i="1"/>
  <c r="H9" i="1"/>
  <c r="H10" i="1"/>
  <c r="H11" i="1"/>
  <c r="H12" i="1"/>
  <c r="H13" i="1"/>
  <c r="H14" i="1"/>
  <c r="H3" i="1"/>
  <c r="G3" i="1"/>
  <c r="F5" i="1"/>
  <c r="F6" i="1"/>
  <c r="F7" i="1"/>
  <c r="F8" i="1"/>
  <c r="F9" i="1"/>
  <c r="F10" i="1"/>
  <c r="F11" i="1"/>
  <c r="F12" i="1"/>
  <c r="F13" i="1"/>
  <c r="F14" i="1"/>
  <c r="F4" i="1"/>
  <c r="G4" i="1"/>
  <c r="G5" i="1"/>
  <c r="G6" i="1"/>
  <c r="G7" i="1"/>
  <c r="G8" i="1"/>
  <c r="G9" i="1"/>
  <c r="G10" i="1"/>
  <c r="G11" i="1"/>
  <c r="G12" i="1"/>
  <c r="G13" i="1"/>
  <c r="G14" i="1"/>
</calcChain>
</file>

<file path=xl/sharedStrings.xml><?xml version="1.0" encoding="utf-8"?>
<sst xmlns="http://schemas.openxmlformats.org/spreadsheetml/2006/main" count="30" uniqueCount="29">
  <si>
    <t>core_run_id</t>
  </si>
  <si>
    <t>core_confidence</t>
  </si>
  <si>
    <t>joint_id</t>
  </si>
  <si>
    <t>joint_confidence</t>
  </si>
  <si>
    <t>Core_1</t>
  </si>
  <si>
    <t>Core_2</t>
  </si>
  <si>
    <t>Core_2_Joint_1</t>
  </si>
  <si>
    <t>Core_2_Joint_2</t>
  </si>
  <si>
    <t>Core_3</t>
  </si>
  <si>
    <t>Core_4</t>
  </si>
  <si>
    <t>Core_4_Joint_1</t>
  </si>
  <si>
    <t>Core_5</t>
  </si>
  <si>
    <t>Core_5_Joint_1</t>
  </si>
  <si>
    <t>Core_6</t>
  </si>
  <si>
    <t>Core_7</t>
  </si>
  <si>
    <t>Core_7_Joint_1</t>
  </si>
  <si>
    <t>Core_8</t>
  </si>
  <si>
    <t>Core_9</t>
  </si>
  <si>
    <t>Core_10</t>
  </si>
  <si>
    <t>Core_11</t>
  </si>
  <si>
    <t>from (rel)</t>
  </si>
  <si>
    <t>to (rel)</t>
  </si>
  <si>
    <t>from (abs)</t>
  </si>
  <si>
    <t>to (abs)</t>
  </si>
  <si>
    <t>run (rel)</t>
  </si>
  <si>
    <t>run (abs)</t>
  </si>
  <si>
    <t>joint pos (rel)</t>
  </si>
  <si>
    <t>joint pos (abs)</t>
  </si>
  <si>
    <t>Insérer selon le from/to de la première image d'analyse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</si>
</sst>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1" applyFont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0" fillId="0" borderId="1" xfId="0" applyBorder="1"/>
    <xf numFmtId="0" fontId="1" fillId="0" borderId="2" xfId="0" applyFont="1" applyBorder="1" applyAlignment="1">
      <alignment horizontal="center" vertical="top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center" vertical="center"/>
    </xf>
    <xf numFmtId="0" fontId="3" fillId="3" borderId="0" xfId="0" applyFont="1" applyFill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P32" sqref="P32"/>
    </sheetView>
  </sheetViews>
  <sheetFormatPr baseColWidth="10" defaultColWidth="9.140625" defaultRowHeight="15" x14ac:dyDescent="0.25"/>
  <cols>
    <col min="1" max="1" width="18" customWidth="1"/>
    <col min="2" max="2" width="21.7109375" customWidth="1"/>
    <col min="3" max="3" width="7.28515625" customWidth="1"/>
    <col min="4" max="4" width="6.140625" customWidth="1"/>
    <col min="5" max="5" width="6.5703125" customWidth="1"/>
    <col min="6" max="6" width="8.42578125" customWidth="1"/>
    <col min="7" max="7" width="6.85546875" customWidth="1"/>
    <col min="8" max="8" width="8" customWidth="1"/>
    <col min="10" max="10" width="15" customWidth="1"/>
  </cols>
  <sheetData>
    <row r="1" spans="1:13" x14ac:dyDescent="0.25">
      <c r="A1" s="2" t="s">
        <v>0</v>
      </c>
      <c r="B1" s="2" t="s">
        <v>1</v>
      </c>
      <c r="C1" s="2" t="s">
        <v>20</v>
      </c>
      <c r="D1" s="2" t="s">
        <v>21</v>
      </c>
      <c r="E1" s="2" t="s">
        <v>24</v>
      </c>
      <c r="F1" s="9" t="s">
        <v>22</v>
      </c>
      <c r="G1" s="9" t="s">
        <v>23</v>
      </c>
      <c r="H1" s="6" t="s">
        <v>25</v>
      </c>
      <c r="I1" s="12"/>
      <c r="J1" s="2" t="s">
        <v>2</v>
      </c>
      <c r="K1" s="2" t="s">
        <v>3</v>
      </c>
      <c r="L1" s="5" t="s">
        <v>26</v>
      </c>
      <c r="M1" s="6" t="s">
        <v>27</v>
      </c>
    </row>
    <row r="2" spans="1:13" ht="15.75" thickBot="1" x14ac:dyDescent="0.3">
      <c r="A2" s="13"/>
      <c r="B2" s="13"/>
      <c r="C2" s="13"/>
      <c r="D2" s="13"/>
      <c r="E2" s="13"/>
      <c r="F2" s="10"/>
      <c r="G2" s="10"/>
      <c r="H2" s="11"/>
      <c r="I2" s="14"/>
      <c r="J2" s="13"/>
      <c r="K2" s="13"/>
      <c r="L2" s="13"/>
      <c r="M2" s="15"/>
    </row>
    <row r="3" spans="1:13" ht="15.75" thickTop="1" x14ac:dyDescent="0.25">
      <c r="A3" t="s">
        <v>4</v>
      </c>
      <c r="B3" s="1">
        <v>0.90006381273269653</v>
      </c>
      <c r="C3" s="3">
        <v>0</v>
      </c>
      <c r="D3" s="3">
        <v>1.2856366634368901</v>
      </c>
      <c r="E3" s="3">
        <v>1.2856366634368901</v>
      </c>
      <c r="F3" s="16">
        <v>271.64999999999998</v>
      </c>
      <c r="G3" s="8">
        <f>D3+$F$3</f>
        <v>272.93563666343687</v>
      </c>
      <c r="H3" s="8">
        <f>G3-F3</f>
        <v>1.2856366634368896</v>
      </c>
      <c r="K3" s="1"/>
      <c r="L3" s="4"/>
      <c r="M3" s="7"/>
    </row>
    <row r="4" spans="1:13" x14ac:dyDescent="0.25">
      <c r="A4" t="s">
        <v>5</v>
      </c>
      <c r="B4" s="1">
        <v>0.90004581212997437</v>
      </c>
      <c r="C4" s="3">
        <v>1.2856366634368901</v>
      </c>
      <c r="D4" s="3">
        <v>2.6571836471557622</v>
      </c>
      <c r="E4" s="3">
        <v>1.3715469837188721</v>
      </c>
      <c r="F4" s="8">
        <f>C4+$F$3</f>
        <v>272.93563666343687</v>
      </c>
      <c r="G4" s="8">
        <f>D4+$F$3</f>
        <v>274.30718364715574</v>
      </c>
      <c r="H4" s="8">
        <f t="shared" ref="H4:H14" si="0">G4-F4</f>
        <v>1.3715469837188721</v>
      </c>
      <c r="J4" t="s">
        <v>6</v>
      </c>
      <c r="K4" s="1">
        <v>0.89620780944824219</v>
      </c>
      <c r="L4" s="3">
        <v>0.6993253231048584</v>
      </c>
      <c r="M4" s="8">
        <f t="shared" ref="M4:M14" si="1">L4+F4</f>
        <v>273.63496198654173</v>
      </c>
    </row>
    <row r="5" spans="1:13" x14ac:dyDescent="0.25">
      <c r="A5" t="s">
        <v>5</v>
      </c>
      <c r="B5" s="1">
        <v>0.90004581212997437</v>
      </c>
      <c r="C5" s="3">
        <v>1.2856366634368901</v>
      </c>
      <c r="D5" s="3">
        <v>2.6571836471557622</v>
      </c>
      <c r="E5" s="3">
        <v>1.3715469837188721</v>
      </c>
      <c r="F5" s="8">
        <f>C5+$F$3</f>
        <v>272.93563666343687</v>
      </c>
      <c r="G5" s="8">
        <f>D5+$F$3</f>
        <v>274.30718364715574</v>
      </c>
      <c r="H5" s="8">
        <f t="shared" si="0"/>
        <v>1.3715469837188721</v>
      </c>
      <c r="J5" t="s">
        <v>7</v>
      </c>
      <c r="K5" s="1">
        <v>0.86139708757400513</v>
      </c>
      <c r="L5" s="3">
        <v>1.2176235914230349</v>
      </c>
      <c r="M5" s="8">
        <f t="shared" si="1"/>
        <v>274.1532602548599</v>
      </c>
    </row>
    <row r="6" spans="1:13" x14ac:dyDescent="0.25">
      <c r="A6" t="s">
        <v>8</v>
      </c>
      <c r="B6" s="1">
        <v>0.92913264036178589</v>
      </c>
      <c r="C6" s="3">
        <v>2.6571836471557622</v>
      </c>
      <c r="D6" s="3">
        <v>4.169776439666748</v>
      </c>
      <c r="E6" s="3">
        <v>1.512592673301697</v>
      </c>
      <c r="F6" s="8">
        <f>C6+$F$3</f>
        <v>274.30718364715574</v>
      </c>
      <c r="G6" s="8">
        <f>D6+$F$3</f>
        <v>275.81977643966673</v>
      </c>
      <c r="H6" s="8">
        <f t="shared" si="0"/>
        <v>1.5125927925109863</v>
      </c>
      <c r="K6" s="1"/>
      <c r="L6" s="3"/>
      <c r="M6" s="8"/>
    </row>
    <row r="7" spans="1:13" x14ac:dyDescent="0.25">
      <c r="A7" t="s">
        <v>9</v>
      </c>
      <c r="B7" s="1">
        <v>0.92627722024917603</v>
      </c>
      <c r="C7" s="3">
        <v>4.169776439666748</v>
      </c>
      <c r="D7" s="3">
        <v>5.6552834510803223</v>
      </c>
      <c r="E7" s="3">
        <v>1.485507488250732</v>
      </c>
      <c r="F7" s="8">
        <f>C7+$F$3</f>
        <v>275.81977643966673</v>
      </c>
      <c r="G7" s="8">
        <f>D7+$F$3</f>
        <v>277.3052834510803</v>
      </c>
      <c r="H7" s="8">
        <f t="shared" si="0"/>
        <v>1.4855070114135742</v>
      </c>
      <c r="J7" t="s">
        <v>10</v>
      </c>
      <c r="K7" s="1">
        <v>0.9281994104385376</v>
      </c>
      <c r="L7" s="3">
        <v>1.1653375625610349</v>
      </c>
      <c r="M7" s="8">
        <f t="shared" si="1"/>
        <v>276.98511400222776</v>
      </c>
    </row>
    <row r="8" spans="1:13" x14ac:dyDescent="0.25">
      <c r="A8" t="s">
        <v>11</v>
      </c>
      <c r="B8" s="1">
        <v>0.94566327333450317</v>
      </c>
      <c r="C8" s="3">
        <v>5.6552834510803223</v>
      </c>
      <c r="D8" s="3">
        <v>7.2468900680541992</v>
      </c>
      <c r="E8" s="3">
        <v>1.591606974601746</v>
      </c>
      <c r="F8" s="8">
        <f>C8+$F$3</f>
        <v>277.3052834510803</v>
      </c>
      <c r="G8" s="8">
        <f>D8+$F$3</f>
        <v>278.89689006805418</v>
      </c>
      <c r="H8" s="8">
        <f t="shared" si="0"/>
        <v>1.591606616973877</v>
      </c>
      <c r="J8" t="s">
        <v>12</v>
      </c>
      <c r="K8" s="1">
        <v>0.81596016883850098</v>
      </c>
      <c r="L8" s="3">
        <v>0.99074345827102661</v>
      </c>
      <c r="M8" s="8">
        <f t="shared" si="1"/>
        <v>278.29602690935133</v>
      </c>
    </row>
    <row r="9" spans="1:13" x14ac:dyDescent="0.25">
      <c r="A9" t="s">
        <v>13</v>
      </c>
      <c r="B9" s="1">
        <v>0.89775735139846802</v>
      </c>
      <c r="C9" s="3">
        <v>7.2468900680541992</v>
      </c>
      <c r="D9" s="3">
        <v>8.4602842330932617</v>
      </c>
      <c r="E9" s="3">
        <v>1.213393926620483</v>
      </c>
      <c r="F9" s="8">
        <f>C9+$F$3</f>
        <v>278.89689006805418</v>
      </c>
      <c r="G9" s="8">
        <f>D9+$F$3</f>
        <v>280.11028423309324</v>
      </c>
      <c r="H9" s="8">
        <f t="shared" si="0"/>
        <v>1.2133941650390625</v>
      </c>
      <c r="K9" s="1"/>
      <c r="L9" s="3"/>
      <c r="M9" s="8"/>
    </row>
    <row r="10" spans="1:13" x14ac:dyDescent="0.25">
      <c r="A10" t="s">
        <v>14</v>
      </c>
      <c r="B10" s="1">
        <v>0.83331543207168579</v>
      </c>
      <c r="C10" s="3">
        <v>8.4602842330932617</v>
      </c>
      <c r="D10" s="3">
        <v>9.9815235137939453</v>
      </c>
      <c r="E10" s="3">
        <v>1.5212389230728149</v>
      </c>
      <c r="F10" s="8">
        <f>C10+$F$3</f>
        <v>280.11028423309324</v>
      </c>
      <c r="G10" s="8">
        <f>D10+$F$3</f>
        <v>281.63152351379392</v>
      </c>
      <c r="H10" s="8">
        <f t="shared" si="0"/>
        <v>1.5212392807006836</v>
      </c>
      <c r="J10" t="s">
        <v>15</v>
      </c>
      <c r="K10" s="1">
        <v>0.9497343897819519</v>
      </c>
      <c r="L10" s="3">
        <v>1.1998921632766719</v>
      </c>
      <c r="M10" s="8">
        <f t="shared" si="1"/>
        <v>281.31017639636991</v>
      </c>
    </row>
    <row r="11" spans="1:13" x14ac:dyDescent="0.25">
      <c r="A11" t="s">
        <v>16</v>
      </c>
      <c r="B11" s="1">
        <v>0.91228693723678589</v>
      </c>
      <c r="C11" s="3">
        <v>9.9815235137939453</v>
      </c>
      <c r="D11" s="3">
        <v>11.071249008178709</v>
      </c>
      <c r="E11" s="3">
        <v>1.0897257328033449</v>
      </c>
      <c r="F11" s="8">
        <f>C11+$F$3</f>
        <v>281.63152351379392</v>
      </c>
      <c r="G11" s="8">
        <f>D11+$F$3</f>
        <v>282.72124900817869</v>
      </c>
      <c r="H11" s="8">
        <f t="shared" si="0"/>
        <v>1.0897254943847656</v>
      </c>
      <c r="K11" s="1"/>
      <c r="L11" s="3"/>
      <c r="M11" s="7"/>
    </row>
    <row r="12" spans="1:13" x14ac:dyDescent="0.25">
      <c r="A12" t="s">
        <v>17</v>
      </c>
      <c r="B12" s="1">
        <v>0.81964594125747681</v>
      </c>
      <c r="C12" s="3">
        <v>11.071249008178709</v>
      </c>
      <c r="D12" s="3">
        <v>11.998111724853519</v>
      </c>
      <c r="E12" s="3">
        <v>0.92686301469802856</v>
      </c>
      <c r="F12" s="8">
        <f>C12+$F$3</f>
        <v>282.72124900817869</v>
      </c>
      <c r="G12" s="8">
        <f>D12+$F$3</f>
        <v>283.64811172485349</v>
      </c>
      <c r="H12" s="8">
        <f t="shared" si="0"/>
        <v>0.92686271667480469</v>
      </c>
      <c r="K12" s="1"/>
      <c r="L12" s="3"/>
      <c r="M12" s="7"/>
    </row>
    <row r="13" spans="1:13" x14ac:dyDescent="0.25">
      <c r="A13" t="s">
        <v>18</v>
      </c>
      <c r="B13" s="1">
        <v>0.88847881555557251</v>
      </c>
      <c r="C13" s="3">
        <v>11.998111724853519</v>
      </c>
      <c r="D13" s="3">
        <v>12.725559234619141</v>
      </c>
      <c r="E13" s="3">
        <v>0.7274467945098877</v>
      </c>
      <c r="F13" s="8">
        <f>C13+$F$3</f>
        <v>283.64811172485349</v>
      </c>
      <c r="G13" s="8">
        <f>D13+$F$3</f>
        <v>284.37555923461912</v>
      </c>
      <c r="H13" s="8">
        <f t="shared" si="0"/>
        <v>0.727447509765625</v>
      </c>
      <c r="K13" s="1"/>
      <c r="L13" s="3"/>
      <c r="M13" s="7"/>
    </row>
    <row r="14" spans="1:13" x14ac:dyDescent="0.25">
      <c r="A14" t="s">
        <v>19</v>
      </c>
      <c r="B14" s="1">
        <v>0.81093108654022217</v>
      </c>
      <c r="C14" s="3">
        <v>12.725559234619141</v>
      </c>
      <c r="D14" s="3">
        <v>14.516069412231451</v>
      </c>
      <c r="E14" s="3">
        <v>1.790509819984436</v>
      </c>
      <c r="F14" s="8">
        <f>C14+$F$3</f>
        <v>284.37555923461912</v>
      </c>
      <c r="G14" s="8">
        <f>D14+$F$3</f>
        <v>286.16606941223142</v>
      </c>
      <c r="H14" s="8">
        <f t="shared" si="0"/>
        <v>1.7905101776123047</v>
      </c>
      <c r="K14" s="1"/>
      <c r="L14" s="4"/>
      <c r="M14" s="7"/>
    </row>
    <row r="17" spans="6:11" x14ac:dyDescent="0.25">
      <c r="F17" s="17" t="s">
        <v>28</v>
      </c>
      <c r="G17" s="17"/>
      <c r="H17" s="17"/>
      <c r="I17" s="17"/>
      <c r="J17" s="17"/>
      <c r="K17" s="17"/>
    </row>
  </sheetData>
  <mergeCells count="12">
    <mergeCell ref="G1:G2"/>
    <mergeCell ref="H1:H2"/>
    <mergeCell ref="M1:M2"/>
    <mergeCell ref="A1:A2"/>
    <mergeCell ref="B1:B2"/>
    <mergeCell ref="L1:L2"/>
    <mergeCell ref="K1:K2"/>
    <mergeCell ref="J1:J2"/>
    <mergeCell ref="E1:E2"/>
    <mergeCell ref="D1:D2"/>
    <mergeCell ref="C1:C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Core_and_Joints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 Sercia</cp:lastModifiedBy>
  <dcterms:created xsi:type="dcterms:W3CDTF">2025-06-30T16:07:37Z</dcterms:created>
  <dcterms:modified xsi:type="dcterms:W3CDTF">2025-06-30T17:41:41Z</dcterms:modified>
</cp:coreProperties>
</file>